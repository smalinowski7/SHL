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L Preseason" sheetId="1" r:id="rId5"/>
    <sheet state="visible" name="S88 Midseason" sheetId="2" r:id="rId6"/>
    <sheet state="visible" name="S88 J Midseason" sheetId="3" r:id="rId7"/>
    <sheet state="visible" name="Sheet3" sheetId="4" r:id="rId8"/>
  </sheets>
  <definedNames>
    <definedName hidden="1" localSheetId="3" name="_xlnm._FilterDatabase">Sheet3!$A$1:$B$25</definedName>
  </definedNames>
  <calcPr/>
</workbook>
</file>

<file path=xl/sharedStrings.xml><?xml version="1.0" encoding="utf-8"?>
<sst xmlns="http://schemas.openxmlformats.org/spreadsheetml/2006/main" count="163" uniqueCount="57">
  <si>
    <t>Ranker Names</t>
  </si>
  <si>
    <t>TPE Rankings</t>
  </si>
  <si>
    <t>Bee</t>
  </si>
  <si>
    <t>RAmenAmen</t>
  </si>
  <si>
    <t>Gwen</t>
  </si>
  <si>
    <t>Juke</t>
  </si>
  <si>
    <t>Ara</t>
  </si>
  <si>
    <t>Beavie</t>
  </si>
  <si>
    <t>Faelax</t>
  </si>
  <si>
    <t>Luke</t>
  </si>
  <si>
    <t>Packer</t>
  </si>
  <si>
    <t>Sky</t>
  </si>
  <si>
    <t>Toaster</t>
  </si>
  <si>
    <t>Averages</t>
  </si>
  <si>
    <t>Rankings</t>
  </si>
  <si>
    <t>Lowest</t>
  </si>
  <si>
    <t>Highest</t>
  </si>
  <si>
    <t>Atlanta</t>
  </si>
  <si>
    <t>Baltimore</t>
  </si>
  <si>
    <t>Buffalo</t>
  </si>
  <si>
    <t>Calgary</t>
  </si>
  <si>
    <t>Chicago</t>
  </si>
  <si>
    <t>Cincinnati</t>
  </si>
  <si>
    <t>Denver</t>
  </si>
  <si>
    <t>Edmonton</t>
  </si>
  <si>
    <t>Hamilton</t>
  </si>
  <si>
    <t>Los Angeles</t>
  </si>
  <si>
    <t>Madison</t>
  </si>
  <si>
    <t>Manhattan</t>
  </si>
  <si>
    <t>Minnesota</t>
  </si>
  <si>
    <t>Montreal</t>
  </si>
  <si>
    <t>Nashville</t>
  </si>
  <si>
    <t>New England</t>
  </si>
  <si>
    <t>New Orleans</t>
  </si>
  <si>
    <t>Philadelphia</t>
  </si>
  <si>
    <t>San Francisco</t>
  </si>
  <si>
    <t>Seattle</t>
  </si>
  <si>
    <t>Tampa Bay</t>
  </si>
  <si>
    <t>Texas</t>
  </si>
  <si>
    <t>Toronto</t>
  </si>
  <si>
    <t>Winnipeg</t>
  </si>
  <si>
    <t>Anchorage</t>
  </si>
  <si>
    <t>Carolina</t>
  </si>
  <si>
    <t>Colorado</t>
  </si>
  <si>
    <t>Detroit</t>
  </si>
  <si>
    <t>Great Falls</t>
  </si>
  <si>
    <t>Kelowna</t>
  </si>
  <si>
    <t>Maine</t>
  </si>
  <si>
    <t>Nevada</t>
  </si>
  <si>
    <t>Newfoundland</t>
  </si>
  <si>
    <t>Ottawa</t>
  </si>
  <si>
    <t>Quebec City</t>
  </si>
  <si>
    <t>San Diego</t>
  </si>
  <si>
    <t>St. Louis</t>
  </si>
  <si>
    <t>Thunder Bay</t>
  </si>
  <si>
    <t>Vancouver</t>
  </si>
  <si>
    <t>Yukon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</si>
</sst>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0" max="10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>
        <v>12.0</v>
      </c>
      <c r="D2" s="1">
        <v>12.0</v>
      </c>
      <c r="E2" s="1">
        <v>12.0</v>
      </c>
      <c r="G2" s="1">
        <v>12.0</v>
      </c>
      <c r="H2" s="1">
        <v>12.0</v>
      </c>
      <c r="M2" s="1">
        <v>12.0</v>
      </c>
      <c r="N2" s="3">
        <f t="shared" ref="N2:N25" si="1">AVERAGE(C2:M2)</f>
        <v>12</v>
      </c>
      <c r="O2" s="3">
        <f t="shared" ref="O2:O25" si="2">RANK(N2, N:N, 1)</f>
        <v>12</v>
      </c>
      <c r="P2" s="3">
        <f t="shared" ref="P2:P25" si="3">MAX(C2:M2)</f>
        <v>12</v>
      </c>
      <c r="Q2" s="3">
        <f t="shared" ref="Q2:Q25" si="4">MIN(C2:M2)</f>
        <v>12</v>
      </c>
    </row>
    <row r="3">
      <c r="A3" s="2" t="s">
        <v>18</v>
      </c>
      <c r="B3" s="1">
        <v>19.0</v>
      </c>
      <c r="D3" s="1">
        <v>19.0</v>
      </c>
      <c r="E3" s="1">
        <v>19.0</v>
      </c>
      <c r="G3" s="1">
        <v>19.0</v>
      </c>
      <c r="H3" s="1">
        <v>19.0</v>
      </c>
      <c r="M3" s="1">
        <v>20.0</v>
      </c>
      <c r="N3" s="3">
        <f t="shared" si="1"/>
        <v>19.2</v>
      </c>
      <c r="O3" s="3">
        <f t="shared" si="2"/>
        <v>19</v>
      </c>
      <c r="P3" s="3">
        <f t="shared" si="3"/>
        <v>20</v>
      </c>
      <c r="Q3" s="3">
        <f t="shared" si="4"/>
        <v>19</v>
      </c>
    </row>
    <row r="4">
      <c r="A4" s="2" t="s">
        <v>19</v>
      </c>
      <c r="B4" s="1">
        <v>11.0</v>
      </c>
      <c r="D4" s="1">
        <v>10.0</v>
      </c>
      <c r="E4" s="1">
        <v>7.0</v>
      </c>
      <c r="G4" s="1">
        <v>7.0</v>
      </c>
      <c r="H4" s="1">
        <v>7.0</v>
      </c>
      <c r="M4" s="1">
        <v>7.0</v>
      </c>
      <c r="N4" s="3">
        <f t="shared" si="1"/>
        <v>7.6</v>
      </c>
      <c r="O4" s="3">
        <f t="shared" si="2"/>
        <v>8</v>
      </c>
      <c r="P4" s="3">
        <f t="shared" si="3"/>
        <v>10</v>
      </c>
      <c r="Q4" s="3">
        <f t="shared" si="4"/>
        <v>7</v>
      </c>
    </row>
    <row r="5">
      <c r="A5" s="2" t="s">
        <v>20</v>
      </c>
      <c r="B5" s="1">
        <v>15.0</v>
      </c>
      <c r="D5" s="1">
        <v>14.0</v>
      </c>
      <c r="E5" s="1">
        <v>15.0</v>
      </c>
      <c r="G5" s="1">
        <v>15.0</v>
      </c>
      <c r="H5" s="1">
        <v>15.0</v>
      </c>
      <c r="M5" s="1">
        <v>14.0</v>
      </c>
      <c r="N5" s="3">
        <f t="shared" si="1"/>
        <v>14.6</v>
      </c>
      <c r="O5" s="3">
        <f t="shared" si="2"/>
        <v>14</v>
      </c>
      <c r="P5" s="3">
        <f t="shared" si="3"/>
        <v>15</v>
      </c>
      <c r="Q5" s="3">
        <f t="shared" si="4"/>
        <v>14</v>
      </c>
    </row>
    <row r="6">
      <c r="A6" s="2" t="s">
        <v>21</v>
      </c>
      <c r="B6" s="1">
        <v>17.0</v>
      </c>
      <c r="D6" s="1">
        <v>17.0</v>
      </c>
      <c r="E6" s="1">
        <v>17.0</v>
      </c>
      <c r="G6" s="1">
        <v>17.0</v>
      </c>
      <c r="H6" s="1">
        <v>17.0</v>
      </c>
      <c r="M6" s="1">
        <v>18.0</v>
      </c>
      <c r="N6" s="3">
        <f t="shared" si="1"/>
        <v>17.2</v>
      </c>
      <c r="O6" s="3">
        <f t="shared" si="2"/>
        <v>17</v>
      </c>
      <c r="P6" s="3">
        <f t="shared" si="3"/>
        <v>18</v>
      </c>
      <c r="Q6" s="3">
        <f t="shared" si="4"/>
        <v>17</v>
      </c>
    </row>
    <row r="7">
      <c r="A7" s="2" t="s">
        <v>22</v>
      </c>
      <c r="B7" s="1">
        <v>18.0</v>
      </c>
      <c r="D7" s="1">
        <v>18.0</v>
      </c>
      <c r="E7" s="1">
        <v>18.0</v>
      </c>
      <c r="G7" s="1">
        <v>18.0</v>
      </c>
      <c r="H7" s="1">
        <v>18.0</v>
      </c>
      <c r="M7" s="1">
        <v>16.0</v>
      </c>
      <c r="N7" s="3">
        <f t="shared" si="1"/>
        <v>17.6</v>
      </c>
      <c r="O7" s="3">
        <f t="shared" si="2"/>
        <v>18</v>
      </c>
      <c r="P7" s="3">
        <f t="shared" si="3"/>
        <v>18</v>
      </c>
      <c r="Q7" s="3">
        <f t="shared" si="4"/>
        <v>16</v>
      </c>
    </row>
    <row r="8">
      <c r="A8" s="2" t="s">
        <v>23</v>
      </c>
      <c r="B8" s="1">
        <v>6.0</v>
      </c>
      <c r="D8" s="1">
        <v>5.0</v>
      </c>
      <c r="E8" s="1">
        <v>6.0</v>
      </c>
      <c r="G8" s="1">
        <v>6.0</v>
      </c>
      <c r="H8" s="1">
        <v>6.0</v>
      </c>
      <c r="M8" s="1">
        <v>9.0</v>
      </c>
      <c r="N8" s="3">
        <f t="shared" si="1"/>
        <v>6.4</v>
      </c>
      <c r="O8" s="3">
        <f t="shared" si="2"/>
        <v>6</v>
      </c>
      <c r="P8" s="3">
        <f t="shared" si="3"/>
        <v>9</v>
      </c>
      <c r="Q8" s="3">
        <f t="shared" si="4"/>
        <v>5</v>
      </c>
    </row>
    <row r="9">
      <c r="A9" s="2" t="s">
        <v>24</v>
      </c>
      <c r="B9" s="1">
        <v>1.0</v>
      </c>
      <c r="D9" s="1">
        <v>1.0</v>
      </c>
      <c r="E9" s="1">
        <v>1.0</v>
      </c>
      <c r="G9" s="1">
        <v>1.0</v>
      </c>
      <c r="H9" s="1">
        <v>1.0</v>
      </c>
      <c r="M9" s="1">
        <v>1.0</v>
      </c>
      <c r="N9" s="3">
        <f t="shared" si="1"/>
        <v>1</v>
      </c>
      <c r="O9" s="3">
        <f t="shared" si="2"/>
        <v>1</v>
      </c>
      <c r="P9" s="3">
        <f t="shared" si="3"/>
        <v>1</v>
      </c>
      <c r="Q9" s="3">
        <f t="shared" si="4"/>
        <v>1</v>
      </c>
    </row>
    <row r="10">
      <c r="A10" s="2" t="s">
        <v>25</v>
      </c>
      <c r="B10" s="1">
        <v>4.0</v>
      </c>
      <c r="D10" s="1">
        <v>6.0</v>
      </c>
      <c r="E10" s="1">
        <v>5.0</v>
      </c>
      <c r="G10" s="1">
        <v>5.0</v>
      </c>
      <c r="H10" s="1">
        <v>5.0</v>
      </c>
      <c r="M10" s="1">
        <v>5.0</v>
      </c>
      <c r="N10" s="3">
        <f t="shared" si="1"/>
        <v>5.2</v>
      </c>
      <c r="O10" s="3">
        <f t="shared" si="2"/>
        <v>5</v>
      </c>
      <c r="P10" s="3">
        <f t="shared" si="3"/>
        <v>6</v>
      </c>
      <c r="Q10" s="3">
        <f t="shared" si="4"/>
        <v>5</v>
      </c>
    </row>
    <row r="11">
      <c r="A11" s="2" t="s">
        <v>26</v>
      </c>
      <c r="B11" s="1">
        <v>16.0</v>
      </c>
      <c r="D11" s="1">
        <v>15.0</v>
      </c>
      <c r="E11" s="1">
        <v>16.0</v>
      </c>
      <c r="G11" s="1">
        <v>16.0</v>
      </c>
      <c r="H11" s="1">
        <v>16.0</v>
      </c>
      <c r="M11" s="1">
        <v>17.0</v>
      </c>
      <c r="N11" s="3">
        <f t="shared" si="1"/>
        <v>16</v>
      </c>
      <c r="O11" s="3">
        <f t="shared" si="2"/>
        <v>16</v>
      </c>
      <c r="P11" s="3">
        <f t="shared" si="3"/>
        <v>17</v>
      </c>
      <c r="Q11" s="3">
        <f t="shared" si="4"/>
        <v>15</v>
      </c>
    </row>
    <row r="12">
      <c r="A12" s="2" t="s">
        <v>27</v>
      </c>
      <c r="B12" s="1">
        <v>14.0</v>
      </c>
      <c r="D12" s="1">
        <v>13.0</v>
      </c>
      <c r="E12" s="1">
        <v>14.0</v>
      </c>
      <c r="G12" s="1">
        <v>14.0</v>
      </c>
      <c r="H12" s="1">
        <v>14.0</v>
      </c>
      <c r="M12" s="1">
        <v>13.0</v>
      </c>
      <c r="N12" s="3">
        <f t="shared" si="1"/>
        <v>13.6</v>
      </c>
      <c r="O12" s="3">
        <f t="shared" si="2"/>
        <v>13</v>
      </c>
      <c r="P12" s="3">
        <f t="shared" si="3"/>
        <v>14</v>
      </c>
      <c r="Q12" s="3">
        <f t="shared" si="4"/>
        <v>13</v>
      </c>
    </row>
    <row r="13">
      <c r="A13" s="2" t="s">
        <v>28</v>
      </c>
      <c r="B13" s="1">
        <v>24.0</v>
      </c>
      <c r="D13" s="1">
        <v>22.0</v>
      </c>
      <c r="E13" s="1">
        <v>22.0</v>
      </c>
      <c r="G13" s="1">
        <v>22.0</v>
      </c>
      <c r="H13" s="1">
        <v>22.0</v>
      </c>
      <c r="M13" s="1">
        <v>21.0</v>
      </c>
      <c r="N13" s="3">
        <f t="shared" si="1"/>
        <v>21.8</v>
      </c>
      <c r="O13" s="3">
        <f t="shared" si="2"/>
        <v>22</v>
      </c>
      <c r="P13" s="3">
        <f t="shared" si="3"/>
        <v>22</v>
      </c>
      <c r="Q13" s="3">
        <f t="shared" si="4"/>
        <v>21</v>
      </c>
    </row>
    <row r="14">
      <c r="A14" s="2" t="s">
        <v>29</v>
      </c>
      <c r="B14" s="1">
        <v>5.0</v>
      </c>
      <c r="D14" s="1">
        <v>4.0</v>
      </c>
      <c r="E14" s="1">
        <v>2.0</v>
      </c>
      <c r="G14" s="1">
        <v>3.0</v>
      </c>
      <c r="H14" s="1">
        <v>3.0</v>
      </c>
      <c r="M14" s="1">
        <v>2.0</v>
      </c>
      <c r="N14" s="3">
        <f t="shared" si="1"/>
        <v>2.8</v>
      </c>
      <c r="O14" s="3">
        <f t="shared" si="2"/>
        <v>3</v>
      </c>
      <c r="P14" s="3">
        <f t="shared" si="3"/>
        <v>4</v>
      </c>
      <c r="Q14" s="3">
        <f t="shared" si="4"/>
        <v>2</v>
      </c>
    </row>
    <row r="15">
      <c r="A15" s="2" t="s">
        <v>30</v>
      </c>
      <c r="B15" s="1">
        <v>20.0</v>
      </c>
      <c r="D15" s="1">
        <v>20.0</v>
      </c>
      <c r="E15" s="1">
        <v>21.0</v>
      </c>
      <c r="G15" s="1">
        <v>20.0</v>
      </c>
      <c r="H15" s="1">
        <v>20.0</v>
      </c>
      <c r="M15" s="1">
        <v>22.0</v>
      </c>
      <c r="N15" s="3">
        <f t="shared" si="1"/>
        <v>20.6</v>
      </c>
      <c r="O15" s="3">
        <f t="shared" si="2"/>
        <v>21</v>
      </c>
      <c r="P15" s="3">
        <f t="shared" si="3"/>
        <v>22</v>
      </c>
      <c r="Q15" s="3">
        <f t="shared" si="4"/>
        <v>20</v>
      </c>
    </row>
    <row r="16">
      <c r="A16" s="2" t="s">
        <v>31</v>
      </c>
      <c r="B16" s="1">
        <v>10.0</v>
      </c>
      <c r="D16" s="1">
        <v>11.0</v>
      </c>
      <c r="E16" s="1">
        <v>10.0</v>
      </c>
      <c r="G16" s="1">
        <v>10.0</v>
      </c>
      <c r="H16" s="1">
        <v>10.0</v>
      </c>
      <c r="M16" s="1">
        <v>10.0</v>
      </c>
      <c r="N16" s="3">
        <f t="shared" si="1"/>
        <v>10.2</v>
      </c>
      <c r="O16" s="3">
        <f t="shared" si="2"/>
        <v>10</v>
      </c>
      <c r="P16" s="3">
        <f t="shared" si="3"/>
        <v>11</v>
      </c>
      <c r="Q16" s="3">
        <f t="shared" si="4"/>
        <v>10</v>
      </c>
    </row>
    <row r="17">
      <c r="A17" s="2" t="s">
        <v>32</v>
      </c>
      <c r="B17" s="1">
        <v>2.0</v>
      </c>
      <c r="D17" s="1">
        <v>2.0</v>
      </c>
      <c r="E17" s="1">
        <v>4.0</v>
      </c>
      <c r="G17" s="1">
        <v>2.0</v>
      </c>
      <c r="H17" s="1">
        <v>2.0</v>
      </c>
      <c r="M17" s="1">
        <v>3.0</v>
      </c>
      <c r="N17" s="3">
        <f t="shared" si="1"/>
        <v>2.6</v>
      </c>
      <c r="O17" s="3">
        <f t="shared" si="2"/>
        <v>2</v>
      </c>
      <c r="P17" s="3">
        <f t="shared" si="3"/>
        <v>4</v>
      </c>
      <c r="Q17" s="3">
        <f t="shared" si="4"/>
        <v>2</v>
      </c>
    </row>
    <row r="18">
      <c r="A18" s="2" t="s">
        <v>33</v>
      </c>
      <c r="B18" s="1">
        <v>9.0</v>
      </c>
      <c r="D18" s="1">
        <v>9.0</v>
      </c>
      <c r="E18" s="1">
        <v>11.0</v>
      </c>
      <c r="G18" s="1">
        <v>11.0</v>
      </c>
      <c r="H18" s="1">
        <v>11.0</v>
      </c>
      <c r="M18" s="1">
        <v>11.0</v>
      </c>
      <c r="N18" s="3">
        <f t="shared" si="1"/>
        <v>10.6</v>
      </c>
      <c r="O18" s="3">
        <f t="shared" si="2"/>
        <v>11</v>
      </c>
      <c r="P18" s="3">
        <f t="shared" si="3"/>
        <v>11</v>
      </c>
      <c r="Q18" s="3">
        <f t="shared" si="4"/>
        <v>9</v>
      </c>
    </row>
    <row r="19">
      <c r="A19" s="2" t="s">
        <v>34</v>
      </c>
      <c r="B19" s="1">
        <v>7.0</v>
      </c>
      <c r="D19" s="1">
        <v>7.0</v>
      </c>
      <c r="E19" s="1">
        <v>8.0</v>
      </c>
      <c r="G19" s="1">
        <v>8.0</v>
      </c>
      <c r="H19" s="1">
        <v>8.0</v>
      </c>
      <c r="M19" s="1">
        <v>6.0</v>
      </c>
      <c r="N19" s="3">
        <f t="shared" si="1"/>
        <v>7.4</v>
      </c>
      <c r="O19" s="3">
        <f t="shared" si="2"/>
        <v>7</v>
      </c>
      <c r="P19" s="3">
        <f t="shared" si="3"/>
        <v>8</v>
      </c>
      <c r="Q19" s="3">
        <f t="shared" si="4"/>
        <v>6</v>
      </c>
    </row>
    <row r="20">
      <c r="A20" s="2" t="s">
        <v>35</v>
      </c>
      <c r="B20" s="1">
        <v>23.0</v>
      </c>
      <c r="D20" s="1">
        <v>23.0</v>
      </c>
      <c r="E20" s="1">
        <v>23.0</v>
      </c>
      <c r="G20" s="1">
        <v>24.0</v>
      </c>
      <c r="H20" s="1">
        <v>24.0</v>
      </c>
      <c r="M20" s="1">
        <v>23.0</v>
      </c>
      <c r="N20" s="3">
        <f t="shared" si="1"/>
        <v>23.4</v>
      </c>
      <c r="O20" s="3">
        <f t="shared" si="2"/>
        <v>23</v>
      </c>
      <c r="P20" s="3">
        <f t="shared" si="3"/>
        <v>24</v>
      </c>
      <c r="Q20" s="3">
        <f t="shared" si="4"/>
        <v>23</v>
      </c>
    </row>
    <row r="21">
      <c r="A21" s="2" t="s">
        <v>36</v>
      </c>
      <c r="B21" s="1">
        <v>3.0</v>
      </c>
      <c r="D21" s="1">
        <v>3.0</v>
      </c>
      <c r="E21" s="1">
        <v>3.0</v>
      </c>
      <c r="G21" s="1">
        <v>3.0</v>
      </c>
      <c r="H21" s="1">
        <v>3.0</v>
      </c>
      <c r="M21" s="1">
        <v>4.0</v>
      </c>
      <c r="N21" s="3">
        <f t="shared" si="1"/>
        <v>3.2</v>
      </c>
      <c r="O21" s="3">
        <f t="shared" si="2"/>
        <v>4</v>
      </c>
      <c r="P21" s="3">
        <f t="shared" si="3"/>
        <v>4</v>
      </c>
      <c r="Q21" s="3">
        <f t="shared" si="4"/>
        <v>3</v>
      </c>
    </row>
    <row r="22">
      <c r="A22" s="2" t="s">
        <v>37</v>
      </c>
      <c r="B22" s="1">
        <v>22.0</v>
      </c>
      <c r="D22" s="1">
        <v>24.0</v>
      </c>
      <c r="E22" s="1">
        <v>24.0</v>
      </c>
      <c r="G22" s="1">
        <v>23.0</v>
      </c>
      <c r="H22" s="1">
        <v>23.0</v>
      </c>
      <c r="M22" s="1">
        <v>24.0</v>
      </c>
      <c r="N22" s="3">
        <f t="shared" si="1"/>
        <v>23.6</v>
      </c>
      <c r="O22" s="3">
        <f t="shared" si="2"/>
        <v>24</v>
      </c>
      <c r="P22" s="3">
        <f t="shared" si="3"/>
        <v>24</v>
      </c>
      <c r="Q22" s="3">
        <f t="shared" si="4"/>
        <v>23</v>
      </c>
    </row>
    <row r="23">
      <c r="A23" s="2" t="s">
        <v>38</v>
      </c>
      <c r="B23" s="1">
        <v>8.0</v>
      </c>
      <c r="D23" s="1">
        <v>8.0</v>
      </c>
      <c r="E23" s="1">
        <v>9.0</v>
      </c>
      <c r="G23" s="1">
        <v>8.0</v>
      </c>
      <c r="H23" s="1">
        <v>8.0</v>
      </c>
      <c r="M23" s="1">
        <v>8.0</v>
      </c>
      <c r="N23" s="3">
        <f t="shared" si="1"/>
        <v>8.2</v>
      </c>
      <c r="O23" s="3">
        <f t="shared" si="2"/>
        <v>9</v>
      </c>
      <c r="P23" s="3">
        <f t="shared" si="3"/>
        <v>9</v>
      </c>
      <c r="Q23" s="3">
        <f t="shared" si="4"/>
        <v>8</v>
      </c>
    </row>
    <row r="24">
      <c r="A24" s="2" t="s">
        <v>39</v>
      </c>
      <c r="B24" s="1">
        <v>13.0</v>
      </c>
      <c r="D24" s="1">
        <v>16.0</v>
      </c>
      <c r="E24" s="1">
        <v>13.0</v>
      </c>
      <c r="G24" s="1">
        <v>15.0</v>
      </c>
      <c r="H24" s="1">
        <v>15.0</v>
      </c>
      <c r="M24" s="1">
        <v>15.0</v>
      </c>
      <c r="N24" s="3">
        <f t="shared" si="1"/>
        <v>14.8</v>
      </c>
      <c r="O24" s="3">
        <f t="shared" si="2"/>
        <v>15</v>
      </c>
      <c r="P24" s="3">
        <f t="shared" si="3"/>
        <v>16</v>
      </c>
      <c r="Q24" s="3">
        <f t="shared" si="4"/>
        <v>13</v>
      </c>
    </row>
    <row r="25">
      <c r="A25" s="2" t="s">
        <v>40</v>
      </c>
      <c r="B25" s="4">
        <v>21.0</v>
      </c>
      <c r="D25" s="1">
        <v>21.0</v>
      </c>
      <c r="E25" s="1">
        <v>20.0</v>
      </c>
      <c r="G25" s="1">
        <v>21.0</v>
      </c>
      <c r="H25" s="1">
        <v>21.0</v>
      </c>
      <c r="M25" s="1">
        <v>19.0</v>
      </c>
      <c r="N25" s="3">
        <f t="shared" si="1"/>
        <v>20.4</v>
      </c>
      <c r="O25" s="3">
        <f t="shared" si="2"/>
        <v>20</v>
      </c>
      <c r="P25" s="3">
        <f t="shared" si="3"/>
        <v>21</v>
      </c>
      <c r="Q25" s="3">
        <f t="shared" si="4"/>
        <v>19</v>
      </c>
    </row>
  </sheetData>
  <conditionalFormatting sqref="O2:O25">
    <cfRule type="colorScale" priority="1">
      <colorScale>
        <cfvo type="min"/>
        <cfvo type="percentile" val="50"/>
        <cfvo type="max"/>
        <color rgb="FF1155CC"/>
        <color rgb="FFFFFFFF"/>
        <color rgb="FFE67C73"/>
      </colorScale>
    </cfRule>
  </conditionalFormatting>
  <conditionalFormatting sqref="O2:O25">
    <cfRule type="notContainsBlanks" dxfId="0" priority="2">
      <formula>LEN(TRIM(O2))&gt;0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0" max="10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>
        <v>12.0</v>
      </c>
      <c r="D2" s="1">
        <v>9.0</v>
      </c>
      <c r="E2" s="1">
        <v>11.0</v>
      </c>
      <c r="H2" s="1">
        <v>10.0</v>
      </c>
      <c r="J2" s="3">
        <v>8.0</v>
      </c>
      <c r="L2" s="1">
        <v>10.0</v>
      </c>
      <c r="N2" s="3">
        <f t="shared" ref="N2:N25" si="1">AVERAGE(C2:M2)</f>
        <v>9.6</v>
      </c>
      <c r="O2" s="3">
        <f t="shared" ref="O2:O25" si="2">RANK(N2, N:N, 1)</f>
        <v>10</v>
      </c>
      <c r="P2" s="3">
        <f t="shared" ref="P2:P25" si="3">MAX(C2:M2)</f>
        <v>11</v>
      </c>
      <c r="Q2" s="3">
        <f t="shared" ref="Q2:Q25" si="4">MIN(C2:M2)</f>
        <v>8</v>
      </c>
    </row>
    <row r="3">
      <c r="A3" s="2" t="s">
        <v>18</v>
      </c>
      <c r="B3" s="1">
        <v>19.0</v>
      </c>
      <c r="D3" s="1">
        <v>16.0</v>
      </c>
      <c r="E3" s="1">
        <v>16.0</v>
      </c>
      <c r="H3" s="1">
        <v>16.0</v>
      </c>
      <c r="J3" s="3">
        <v>15.0</v>
      </c>
      <c r="L3" s="1">
        <v>16.0</v>
      </c>
      <c r="N3" s="3">
        <f t="shared" si="1"/>
        <v>15.8</v>
      </c>
      <c r="O3" s="3">
        <f t="shared" si="2"/>
        <v>15</v>
      </c>
      <c r="P3" s="3">
        <f t="shared" si="3"/>
        <v>16</v>
      </c>
      <c r="Q3" s="3">
        <f t="shared" si="4"/>
        <v>15</v>
      </c>
    </row>
    <row r="4">
      <c r="A4" s="2" t="s">
        <v>19</v>
      </c>
      <c r="B4" s="1">
        <v>11.0</v>
      </c>
      <c r="D4" s="1">
        <v>6.0</v>
      </c>
      <c r="E4" s="1">
        <v>6.0</v>
      </c>
      <c r="H4" s="1">
        <v>5.0</v>
      </c>
      <c r="J4" s="3">
        <v>3.0</v>
      </c>
      <c r="L4" s="1">
        <v>3.0</v>
      </c>
      <c r="N4" s="3">
        <f t="shared" si="1"/>
        <v>4.6</v>
      </c>
      <c r="O4" s="3">
        <f t="shared" si="2"/>
        <v>5</v>
      </c>
      <c r="P4" s="3">
        <f t="shared" si="3"/>
        <v>6</v>
      </c>
      <c r="Q4" s="3">
        <f t="shared" si="4"/>
        <v>3</v>
      </c>
    </row>
    <row r="5">
      <c r="A5" s="2" t="s">
        <v>20</v>
      </c>
      <c r="B5" s="1">
        <v>15.0</v>
      </c>
      <c r="D5" s="1">
        <v>11.0</v>
      </c>
      <c r="E5" s="1">
        <v>10.0</v>
      </c>
      <c r="H5" s="1">
        <v>11.0</v>
      </c>
      <c r="J5" s="3">
        <v>11.0</v>
      </c>
      <c r="L5" s="1">
        <v>13.0</v>
      </c>
      <c r="N5" s="3">
        <f t="shared" si="1"/>
        <v>11.2</v>
      </c>
      <c r="O5" s="3">
        <f t="shared" si="2"/>
        <v>11</v>
      </c>
      <c r="P5" s="3">
        <f t="shared" si="3"/>
        <v>13</v>
      </c>
      <c r="Q5" s="3">
        <f t="shared" si="4"/>
        <v>10</v>
      </c>
    </row>
    <row r="6">
      <c r="A6" s="2" t="s">
        <v>21</v>
      </c>
      <c r="B6" s="1">
        <v>17.0</v>
      </c>
      <c r="D6" s="1">
        <v>17.0</v>
      </c>
      <c r="E6" s="1">
        <v>17.0</v>
      </c>
      <c r="H6" s="1">
        <v>17.0</v>
      </c>
      <c r="J6" s="3">
        <v>16.0</v>
      </c>
      <c r="L6" s="1">
        <v>17.0</v>
      </c>
      <c r="N6" s="3">
        <f t="shared" si="1"/>
        <v>16.8</v>
      </c>
      <c r="O6" s="3">
        <f t="shared" si="2"/>
        <v>17</v>
      </c>
      <c r="P6" s="3">
        <f t="shared" si="3"/>
        <v>17</v>
      </c>
      <c r="Q6" s="3">
        <f t="shared" si="4"/>
        <v>16</v>
      </c>
    </row>
    <row r="7">
      <c r="A7" s="2" t="s">
        <v>22</v>
      </c>
      <c r="B7" s="1">
        <v>18.0</v>
      </c>
      <c r="D7" s="1">
        <v>20.0</v>
      </c>
      <c r="E7" s="1">
        <v>21.0</v>
      </c>
      <c r="H7" s="1">
        <v>20.0</v>
      </c>
      <c r="J7" s="1">
        <v>19.0</v>
      </c>
      <c r="L7" s="1">
        <v>20.0</v>
      </c>
      <c r="N7" s="3">
        <f t="shared" si="1"/>
        <v>20</v>
      </c>
      <c r="O7" s="3">
        <f t="shared" si="2"/>
        <v>20</v>
      </c>
      <c r="P7" s="3">
        <f t="shared" si="3"/>
        <v>21</v>
      </c>
      <c r="Q7" s="3">
        <f t="shared" si="4"/>
        <v>19</v>
      </c>
    </row>
    <row r="8">
      <c r="A8" s="2" t="s">
        <v>23</v>
      </c>
      <c r="B8" s="1">
        <v>6.0</v>
      </c>
      <c r="D8" s="1">
        <v>2.0</v>
      </c>
      <c r="E8" s="1">
        <v>2.0</v>
      </c>
      <c r="H8" s="1">
        <v>2.0</v>
      </c>
      <c r="J8" s="3">
        <v>4.0</v>
      </c>
      <c r="L8" s="1">
        <v>1.0</v>
      </c>
      <c r="N8" s="3">
        <f t="shared" si="1"/>
        <v>2.2</v>
      </c>
      <c r="O8" s="3">
        <f t="shared" si="2"/>
        <v>2</v>
      </c>
      <c r="P8" s="3">
        <f t="shared" si="3"/>
        <v>4</v>
      </c>
      <c r="Q8" s="3">
        <f t="shared" si="4"/>
        <v>1</v>
      </c>
    </row>
    <row r="9">
      <c r="A9" s="2" t="s">
        <v>24</v>
      </c>
      <c r="B9" s="1">
        <v>1.0</v>
      </c>
      <c r="D9" s="1">
        <v>5.0</v>
      </c>
      <c r="E9" s="1">
        <v>5.0</v>
      </c>
      <c r="H9" s="1">
        <v>7.0</v>
      </c>
      <c r="J9" s="3">
        <v>2.0</v>
      </c>
      <c r="L9" s="1">
        <v>8.0</v>
      </c>
      <c r="N9" s="3">
        <f t="shared" si="1"/>
        <v>5.4</v>
      </c>
      <c r="O9" s="3">
        <f t="shared" si="2"/>
        <v>6</v>
      </c>
      <c r="P9" s="3">
        <f t="shared" si="3"/>
        <v>8</v>
      </c>
      <c r="Q9" s="3">
        <f t="shared" si="4"/>
        <v>2</v>
      </c>
    </row>
    <row r="10">
      <c r="A10" s="2" t="s">
        <v>25</v>
      </c>
      <c r="B10" s="1">
        <v>4.0</v>
      </c>
      <c r="D10" s="1">
        <v>12.0</v>
      </c>
      <c r="E10" s="1">
        <v>13.0</v>
      </c>
      <c r="H10" s="1">
        <v>12.0</v>
      </c>
      <c r="J10" s="3">
        <v>12.0</v>
      </c>
      <c r="L10" s="1">
        <v>11.0</v>
      </c>
      <c r="N10" s="3">
        <f t="shared" si="1"/>
        <v>12</v>
      </c>
      <c r="O10" s="3">
        <f t="shared" si="2"/>
        <v>12</v>
      </c>
      <c r="P10" s="3">
        <f t="shared" si="3"/>
        <v>13</v>
      </c>
      <c r="Q10" s="3">
        <f t="shared" si="4"/>
        <v>11</v>
      </c>
    </row>
    <row r="11">
      <c r="A11" s="2" t="s">
        <v>26</v>
      </c>
      <c r="B11" s="1">
        <v>16.0</v>
      </c>
      <c r="D11" s="1">
        <v>19.0</v>
      </c>
      <c r="E11" s="1">
        <v>19.0</v>
      </c>
      <c r="H11" s="1">
        <v>19.0</v>
      </c>
      <c r="J11" s="3">
        <v>17.0</v>
      </c>
      <c r="L11" s="1">
        <v>18.0</v>
      </c>
      <c r="N11" s="3">
        <f t="shared" si="1"/>
        <v>18.4</v>
      </c>
      <c r="O11" s="3">
        <f t="shared" si="2"/>
        <v>19</v>
      </c>
      <c r="P11" s="3">
        <f t="shared" si="3"/>
        <v>19</v>
      </c>
      <c r="Q11" s="3">
        <f t="shared" si="4"/>
        <v>17</v>
      </c>
    </row>
    <row r="12">
      <c r="A12" s="2" t="s">
        <v>27</v>
      </c>
      <c r="B12" s="1">
        <v>14.0</v>
      </c>
      <c r="D12" s="1">
        <v>15.0</v>
      </c>
      <c r="E12" s="1">
        <v>14.0</v>
      </c>
      <c r="H12" s="1">
        <v>15.0</v>
      </c>
      <c r="J12" s="1">
        <v>20.0</v>
      </c>
      <c r="L12" s="1">
        <v>15.0</v>
      </c>
      <c r="N12" s="3">
        <f t="shared" si="1"/>
        <v>15.8</v>
      </c>
      <c r="O12" s="3">
        <f t="shared" si="2"/>
        <v>15</v>
      </c>
      <c r="P12" s="3">
        <f t="shared" si="3"/>
        <v>20</v>
      </c>
      <c r="Q12" s="3">
        <f t="shared" si="4"/>
        <v>14</v>
      </c>
    </row>
    <row r="13">
      <c r="A13" s="2" t="s">
        <v>28</v>
      </c>
      <c r="B13" s="1">
        <v>24.0</v>
      </c>
      <c r="D13" s="1">
        <v>24.0</v>
      </c>
      <c r="E13" s="1">
        <v>24.0</v>
      </c>
      <c r="H13" s="1">
        <v>24.0</v>
      </c>
      <c r="J13" s="3">
        <v>24.0</v>
      </c>
      <c r="L13" s="1">
        <v>24.0</v>
      </c>
      <c r="N13" s="3">
        <f t="shared" si="1"/>
        <v>24</v>
      </c>
      <c r="O13" s="3">
        <f t="shared" si="2"/>
        <v>24</v>
      </c>
      <c r="P13" s="3">
        <f t="shared" si="3"/>
        <v>24</v>
      </c>
      <c r="Q13" s="3">
        <f t="shared" si="4"/>
        <v>24</v>
      </c>
    </row>
    <row r="14">
      <c r="A14" s="2" t="s">
        <v>29</v>
      </c>
      <c r="B14" s="1">
        <v>5.0</v>
      </c>
      <c r="D14" s="1">
        <v>4.0</v>
      </c>
      <c r="E14" s="1">
        <v>3.0</v>
      </c>
      <c r="H14" s="1">
        <v>4.0</v>
      </c>
      <c r="J14" s="1">
        <v>6.0</v>
      </c>
      <c r="L14" s="1">
        <v>5.0</v>
      </c>
      <c r="N14" s="3">
        <f t="shared" si="1"/>
        <v>4.4</v>
      </c>
      <c r="O14" s="3">
        <f t="shared" si="2"/>
        <v>4</v>
      </c>
      <c r="P14" s="3">
        <f t="shared" si="3"/>
        <v>6</v>
      </c>
      <c r="Q14" s="3">
        <f t="shared" si="4"/>
        <v>3</v>
      </c>
    </row>
    <row r="15">
      <c r="A15" s="2" t="s">
        <v>30</v>
      </c>
      <c r="B15" s="1">
        <v>20.0</v>
      </c>
      <c r="D15" s="1">
        <v>22.0</v>
      </c>
      <c r="E15" s="1">
        <v>23.0</v>
      </c>
      <c r="H15" s="1">
        <v>22.0</v>
      </c>
      <c r="J15" s="1">
        <v>22.0</v>
      </c>
      <c r="L15" s="1">
        <v>23.0</v>
      </c>
      <c r="N15" s="3">
        <f t="shared" si="1"/>
        <v>22.4</v>
      </c>
      <c r="O15" s="3">
        <f t="shared" si="2"/>
        <v>22</v>
      </c>
      <c r="P15" s="3">
        <f t="shared" si="3"/>
        <v>23</v>
      </c>
      <c r="Q15" s="3">
        <f t="shared" si="4"/>
        <v>22</v>
      </c>
    </row>
    <row r="16">
      <c r="A16" s="2" t="s">
        <v>31</v>
      </c>
      <c r="B16" s="1">
        <v>10.0</v>
      </c>
      <c r="D16" s="1">
        <v>7.0</v>
      </c>
      <c r="E16" s="1">
        <v>8.0</v>
      </c>
      <c r="H16" s="1">
        <v>8.0</v>
      </c>
      <c r="J16" s="1">
        <v>10.0</v>
      </c>
      <c r="L16" s="1">
        <v>6.0</v>
      </c>
      <c r="N16" s="3">
        <f t="shared" si="1"/>
        <v>7.8</v>
      </c>
      <c r="O16" s="3">
        <f t="shared" si="2"/>
        <v>8</v>
      </c>
      <c r="P16" s="3">
        <f t="shared" si="3"/>
        <v>10</v>
      </c>
      <c r="Q16" s="3">
        <f t="shared" si="4"/>
        <v>6</v>
      </c>
    </row>
    <row r="17">
      <c r="A17" s="2" t="s">
        <v>32</v>
      </c>
      <c r="B17" s="1">
        <v>2.0</v>
      </c>
      <c r="D17" s="1">
        <v>3.0</v>
      </c>
      <c r="E17" s="1">
        <v>4.0</v>
      </c>
      <c r="H17" s="1">
        <v>3.0</v>
      </c>
      <c r="J17" s="3">
        <v>5.0</v>
      </c>
      <c r="L17" s="1">
        <v>4.0</v>
      </c>
      <c r="N17" s="3">
        <f t="shared" si="1"/>
        <v>3.8</v>
      </c>
      <c r="O17" s="3">
        <f t="shared" si="2"/>
        <v>3</v>
      </c>
      <c r="P17" s="3">
        <f t="shared" si="3"/>
        <v>5</v>
      </c>
      <c r="Q17" s="3">
        <f t="shared" si="4"/>
        <v>3</v>
      </c>
    </row>
    <row r="18">
      <c r="A18" s="2" t="s">
        <v>33</v>
      </c>
      <c r="B18" s="1">
        <v>9.0</v>
      </c>
      <c r="D18" s="1">
        <v>14.0</v>
      </c>
      <c r="E18" s="1">
        <v>15.0</v>
      </c>
      <c r="H18" s="1">
        <v>14.0</v>
      </c>
      <c r="J18" s="3">
        <v>14.0</v>
      </c>
      <c r="L18" s="1">
        <v>14.0</v>
      </c>
      <c r="N18" s="3">
        <f t="shared" si="1"/>
        <v>14.2</v>
      </c>
      <c r="O18" s="3">
        <f t="shared" si="2"/>
        <v>14</v>
      </c>
      <c r="P18" s="3">
        <f t="shared" si="3"/>
        <v>15</v>
      </c>
      <c r="Q18" s="3">
        <f t="shared" si="4"/>
        <v>14</v>
      </c>
    </row>
    <row r="19">
      <c r="A19" s="2" t="s">
        <v>34</v>
      </c>
      <c r="B19" s="1">
        <v>7.0</v>
      </c>
      <c r="D19" s="1">
        <v>10.0</v>
      </c>
      <c r="E19" s="1">
        <v>9.0</v>
      </c>
      <c r="H19" s="1">
        <v>9.0</v>
      </c>
      <c r="J19" s="3">
        <v>9.0</v>
      </c>
      <c r="L19" s="1">
        <v>9.0</v>
      </c>
      <c r="N19" s="3">
        <f t="shared" si="1"/>
        <v>9.2</v>
      </c>
      <c r="O19" s="3">
        <f t="shared" si="2"/>
        <v>9</v>
      </c>
      <c r="P19" s="3">
        <f t="shared" si="3"/>
        <v>10</v>
      </c>
      <c r="Q19" s="3">
        <f t="shared" si="4"/>
        <v>9</v>
      </c>
    </row>
    <row r="20">
      <c r="A20" s="2" t="s">
        <v>35</v>
      </c>
      <c r="B20" s="1">
        <v>23.0</v>
      </c>
      <c r="D20" s="1">
        <v>23.0</v>
      </c>
      <c r="E20" s="1">
        <v>22.0</v>
      </c>
      <c r="H20" s="1">
        <v>23.0</v>
      </c>
      <c r="J20" s="3">
        <v>23.0</v>
      </c>
      <c r="L20" s="1">
        <v>21.0</v>
      </c>
      <c r="N20" s="3">
        <f t="shared" si="1"/>
        <v>22.4</v>
      </c>
      <c r="O20" s="3">
        <f t="shared" si="2"/>
        <v>22</v>
      </c>
      <c r="P20" s="3">
        <f t="shared" si="3"/>
        <v>23</v>
      </c>
      <c r="Q20" s="3">
        <f t="shared" si="4"/>
        <v>21</v>
      </c>
    </row>
    <row r="21">
      <c r="A21" s="2" t="s">
        <v>36</v>
      </c>
      <c r="B21" s="1">
        <v>3.0</v>
      </c>
      <c r="D21" s="1">
        <v>1.0</v>
      </c>
      <c r="E21" s="1">
        <v>1.0</v>
      </c>
      <c r="H21" s="1">
        <v>1.0</v>
      </c>
      <c r="J21" s="3">
        <v>1.0</v>
      </c>
      <c r="L21" s="1">
        <v>2.0</v>
      </c>
      <c r="N21" s="3">
        <f t="shared" si="1"/>
        <v>1.2</v>
      </c>
      <c r="O21" s="3">
        <f t="shared" si="2"/>
        <v>1</v>
      </c>
      <c r="P21" s="3">
        <f t="shared" si="3"/>
        <v>2</v>
      </c>
      <c r="Q21" s="3">
        <f t="shared" si="4"/>
        <v>1</v>
      </c>
    </row>
    <row r="22">
      <c r="A22" s="2" t="s">
        <v>37</v>
      </c>
      <c r="B22" s="1">
        <v>22.0</v>
      </c>
      <c r="D22" s="1">
        <v>21.0</v>
      </c>
      <c r="E22" s="1">
        <v>20.0</v>
      </c>
      <c r="H22" s="1">
        <v>21.0</v>
      </c>
      <c r="J22" s="1">
        <v>21.0</v>
      </c>
      <c r="L22" s="1">
        <v>22.0</v>
      </c>
      <c r="N22" s="3">
        <f t="shared" si="1"/>
        <v>21</v>
      </c>
      <c r="O22" s="3">
        <f t="shared" si="2"/>
        <v>21</v>
      </c>
      <c r="P22" s="3">
        <f t="shared" si="3"/>
        <v>22</v>
      </c>
      <c r="Q22" s="3">
        <f t="shared" si="4"/>
        <v>20</v>
      </c>
    </row>
    <row r="23">
      <c r="A23" s="2" t="s">
        <v>38</v>
      </c>
      <c r="B23" s="1">
        <v>8.0</v>
      </c>
      <c r="D23" s="1">
        <v>13.0</v>
      </c>
      <c r="E23" s="1">
        <v>12.0</v>
      </c>
      <c r="H23" s="1">
        <v>13.0</v>
      </c>
      <c r="J23" s="1">
        <v>13.0</v>
      </c>
      <c r="L23" s="1">
        <v>12.0</v>
      </c>
      <c r="N23" s="3">
        <f t="shared" si="1"/>
        <v>12.6</v>
      </c>
      <c r="O23" s="3">
        <f t="shared" si="2"/>
        <v>13</v>
      </c>
      <c r="P23" s="3">
        <f t="shared" si="3"/>
        <v>13</v>
      </c>
      <c r="Q23" s="3">
        <f t="shared" si="4"/>
        <v>12</v>
      </c>
    </row>
    <row r="24">
      <c r="A24" s="2" t="s">
        <v>39</v>
      </c>
      <c r="B24" s="1">
        <v>13.0</v>
      </c>
      <c r="D24" s="1">
        <v>8.0</v>
      </c>
      <c r="E24" s="1">
        <v>7.0</v>
      </c>
      <c r="H24" s="1">
        <v>6.0</v>
      </c>
      <c r="J24" s="1">
        <v>7.0</v>
      </c>
      <c r="L24" s="1">
        <v>7.0</v>
      </c>
      <c r="N24" s="3">
        <f t="shared" si="1"/>
        <v>7</v>
      </c>
      <c r="O24" s="3">
        <f t="shared" si="2"/>
        <v>7</v>
      </c>
      <c r="P24" s="3">
        <f t="shared" si="3"/>
        <v>8</v>
      </c>
      <c r="Q24" s="3">
        <f t="shared" si="4"/>
        <v>6</v>
      </c>
    </row>
    <row r="25">
      <c r="A25" s="2" t="s">
        <v>40</v>
      </c>
      <c r="B25" s="4">
        <v>21.0</v>
      </c>
      <c r="D25" s="1">
        <v>18.0</v>
      </c>
      <c r="E25" s="1">
        <v>18.0</v>
      </c>
      <c r="H25" s="1">
        <v>18.0</v>
      </c>
      <c r="J25" s="1">
        <v>18.0</v>
      </c>
      <c r="L25" s="1">
        <v>19.0</v>
      </c>
      <c r="N25" s="3">
        <f t="shared" si="1"/>
        <v>18.2</v>
      </c>
      <c r="O25" s="3">
        <f t="shared" si="2"/>
        <v>18</v>
      </c>
      <c r="P25" s="3">
        <f t="shared" si="3"/>
        <v>19</v>
      </c>
      <c r="Q25" s="3">
        <f t="shared" si="4"/>
        <v>18</v>
      </c>
    </row>
  </sheetData>
  <conditionalFormatting sqref="O2:O25">
    <cfRule type="colorScale" priority="1">
      <colorScale>
        <cfvo type="min"/>
        <cfvo type="percentile" val="50"/>
        <cfvo type="max"/>
        <color rgb="FF1155CC"/>
        <color rgb="FFFFFFFF"/>
        <color rgb="FFE67C73"/>
      </colorScale>
    </cfRule>
  </conditionalFormatting>
  <conditionalFormatting sqref="O2:O25">
    <cfRule type="notContainsBlanks" dxfId="0" priority="2">
      <formula>LEN(TRIM(O2))&gt;0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0" max="10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4" t="s">
        <v>41</v>
      </c>
      <c r="B2" s="1">
        <v>5.0</v>
      </c>
      <c r="C2" s="1">
        <v>1.0</v>
      </c>
      <c r="D2" s="1">
        <v>1.0</v>
      </c>
      <c r="E2" s="1">
        <v>2.0</v>
      </c>
      <c r="N2" s="3">
        <f t="shared" ref="N2:N17" si="1">AVERAGE(C2:M2)</f>
        <v>1.333333333</v>
      </c>
      <c r="O2" s="3">
        <f t="shared" ref="O2:O17" si="2">RANK(N2, N:N, 1)</f>
        <v>1</v>
      </c>
      <c r="P2" s="3">
        <f t="shared" ref="P2:P17" si="3">MAX(C2:M2)</f>
        <v>2</v>
      </c>
      <c r="Q2" s="3">
        <f t="shared" ref="Q2:Q17" si="4">MIN(C2:M2)</f>
        <v>1</v>
      </c>
    </row>
    <row r="3">
      <c r="A3" s="4" t="s">
        <v>42</v>
      </c>
      <c r="B3" s="1">
        <v>13.0</v>
      </c>
      <c r="C3" s="1">
        <v>10.0</v>
      </c>
      <c r="D3" s="1">
        <v>13.0</v>
      </c>
      <c r="E3" s="1">
        <v>13.0</v>
      </c>
      <c r="N3" s="3">
        <f t="shared" si="1"/>
        <v>12</v>
      </c>
      <c r="O3" s="3">
        <f t="shared" si="2"/>
        <v>12</v>
      </c>
      <c r="P3" s="3">
        <f t="shared" si="3"/>
        <v>13</v>
      </c>
      <c r="Q3" s="3">
        <f t="shared" si="4"/>
        <v>10</v>
      </c>
    </row>
    <row r="4">
      <c r="A4" s="4" t="s">
        <v>43</v>
      </c>
      <c r="B4" s="1">
        <v>11.0</v>
      </c>
      <c r="C4" s="1">
        <v>14.0</v>
      </c>
      <c r="D4" s="1">
        <v>14.0</v>
      </c>
      <c r="E4" s="1">
        <v>14.0</v>
      </c>
      <c r="N4" s="3">
        <f t="shared" si="1"/>
        <v>14</v>
      </c>
      <c r="O4" s="3">
        <f t="shared" si="2"/>
        <v>14</v>
      </c>
      <c r="P4" s="3">
        <f t="shared" si="3"/>
        <v>14</v>
      </c>
      <c r="Q4" s="3">
        <f t="shared" si="4"/>
        <v>14</v>
      </c>
    </row>
    <row r="5">
      <c r="A5" s="4" t="s">
        <v>44</v>
      </c>
      <c r="B5" s="1">
        <v>10.0</v>
      </c>
      <c r="C5" s="1">
        <v>9.0</v>
      </c>
      <c r="D5" s="1">
        <v>8.0</v>
      </c>
      <c r="E5" s="1">
        <v>6.0</v>
      </c>
      <c r="N5" s="3">
        <f t="shared" si="1"/>
        <v>7.666666667</v>
      </c>
      <c r="O5" s="3">
        <f t="shared" si="2"/>
        <v>8</v>
      </c>
      <c r="P5" s="3">
        <f t="shared" si="3"/>
        <v>9</v>
      </c>
      <c r="Q5" s="3">
        <f t="shared" si="4"/>
        <v>6</v>
      </c>
    </row>
    <row r="6">
      <c r="A6" s="4" t="s">
        <v>45</v>
      </c>
      <c r="B6" s="1">
        <v>15.0</v>
      </c>
      <c r="C6" s="1">
        <v>15.0</v>
      </c>
      <c r="D6" s="1">
        <v>15.0</v>
      </c>
      <c r="E6" s="1">
        <v>15.0</v>
      </c>
      <c r="N6" s="3">
        <f t="shared" si="1"/>
        <v>15</v>
      </c>
      <c r="O6" s="3">
        <f t="shared" si="2"/>
        <v>15</v>
      </c>
      <c r="P6" s="3">
        <f t="shared" si="3"/>
        <v>15</v>
      </c>
      <c r="Q6" s="3">
        <f t="shared" si="4"/>
        <v>15</v>
      </c>
    </row>
    <row r="7">
      <c r="A7" s="4" t="s">
        <v>46</v>
      </c>
      <c r="B7" s="1">
        <v>14.0</v>
      </c>
      <c r="C7" s="1">
        <v>5.0</v>
      </c>
      <c r="D7" s="1">
        <v>9.0</v>
      </c>
      <c r="E7" s="1">
        <v>8.0</v>
      </c>
      <c r="N7" s="3">
        <f t="shared" si="1"/>
        <v>7.333333333</v>
      </c>
      <c r="O7" s="3">
        <f t="shared" si="2"/>
        <v>7</v>
      </c>
      <c r="P7" s="3">
        <f t="shared" si="3"/>
        <v>9</v>
      </c>
      <c r="Q7" s="3">
        <f t="shared" si="4"/>
        <v>5</v>
      </c>
    </row>
    <row r="8">
      <c r="A8" s="4" t="s">
        <v>47</v>
      </c>
      <c r="B8" s="1">
        <v>4.0</v>
      </c>
      <c r="C8" s="1">
        <v>7.0</v>
      </c>
      <c r="D8" s="1">
        <v>7.0</v>
      </c>
      <c r="E8" s="1">
        <v>9.0</v>
      </c>
      <c r="N8" s="3">
        <f t="shared" si="1"/>
        <v>7.666666667</v>
      </c>
      <c r="O8" s="3">
        <f t="shared" si="2"/>
        <v>8</v>
      </c>
      <c r="P8" s="3">
        <f t="shared" si="3"/>
        <v>9</v>
      </c>
      <c r="Q8" s="3">
        <f t="shared" si="4"/>
        <v>7</v>
      </c>
    </row>
    <row r="9">
      <c r="A9" s="4" t="s">
        <v>48</v>
      </c>
      <c r="B9" s="1">
        <v>3.0</v>
      </c>
      <c r="C9" s="1">
        <v>6.0</v>
      </c>
      <c r="D9" s="1">
        <v>5.0</v>
      </c>
      <c r="E9" s="1">
        <v>4.0</v>
      </c>
      <c r="N9" s="3">
        <f t="shared" si="1"/>
        <v>5</v>
      </c>
      <c r="O9" s="3">
        <f t="shared" si="2"/>
        <v>5</v>
      </c>
      <c r="P9" s="3">
        <f t="shared" si="3"/>
        <v>6</v>
      </c>
      <c r="Q9" s="3">
        <f t="shared" si="4"/>
        <v>4</v>
      </c>
    </row>
    <row r="10">
      <c r="A10" s="4" t="s">
        <v>49</v>
      </c>
      <c r="B10" s="1">
        <v>12.0</v>
      </c>
      <c r="C10" s="1">
        <v>11.0</v>
      </c>
      <c r="D10" s="1">
        <v>12.0</v>
      </c>
      <c r="E10" s="1">
        <v>11.0</v>
      </c>
      <c r="N10" s="3">
        <f t="shared" si="1"/>
        <v>11.33333333</v>
      </c>
      <c r="O10" s="3">
        <f t="shared" si="2"/>
        <v>11</v>
      </c>
      <c r="P10" s="3">
        <f t="shared" si="3"/>
        <v>12</v>
      </c>
      <c r="Q10" s="3">
        <f t="shared" si="4"/>
        <v>11</v>
      </c>
    </row>
    <row r="11">
      <c r="A11" s="4" t="s">
        <v>50</v>
      </c>
      <c r="B11" s="1">
        <v>7.0</v>
      </c>
      <c r="C11" s="1">
        <v>12.0</v>
      </c>
      <c r="D11" s="1">
        <v>10.0</v>
      </c>
      <c r="E11" s="1">
        <v>10.0</v>
      </c>
      <c r="N11" s="3">
        <f t="shared" si="1"/>
        <v>10.66666667</v>
      </c>
      <c r="O11" s="3">
        <f t="shared" si="2"/>
        <v>10</v>
      </c>
      <c r="P11" s="3">
        <f t="shared" si="3"/>
        <v>12</v>
      </c>
      <c r="Q11" s="3">
        <f t="shared" si="4"/>
        <v>10</v>
      </c>
    </row>
    <row r="12">
      <c r="A12" s="4" t="s">
        <v>51</v>
      </c>
      <c r="B12" s="1">
        <v>1.0</v>
      </c>
      <c r="C12" s="1">
        <v>2.0</v>
      </c>
      <c r="D12" s="1">
        <v>2.0</v>
      </c>
      <c r="E12" s="1">
        <v>1.0</v>
      </c>
      <c r="N12" s="3">
        <f t="shared" si="1"/>
        <v>1.666666667</v>
      </c>
      <c r="O12" s="3">
        <f t="shared" si="2"/>
        <v>2</v>
      </c>
      <c r="P12" s="3">
        <f t="shared" si="3"/>
        <v>2</v>
      </c>
      <c r="Q12" s="3">
        <f t="shared" si="4"/>
        <v>1</v>
      </c>
    </row>
    <row r="13">
      <c r="A13" s="4" t="s">
        <v>52</v>
      </c>
      <c r="B13" s="1">
        <v>8.0</v>
      </c>
      <c r="C13" s="1">
        <v>5.0</v>
      </c>
      <c r="D13" s="1">
        <v>6.0</v>
      </c>
      <c r="E13" s="1">
        <v>7.0</v>
      </c>
      <c r="N13" s="3">
        <f t="shared" si="1"/>
        <v>6</v>
      </c>
      <c r="O13" s="3">
        <f t="shared" si="2"/>
        <v>6</v>
      </c>
      <c r="P13" s="3">
        <f t="shared" si="3"/>
        <v>7</v>
      </c>
      <c r="Q13" s="3">
        <f t="shared" si="4"/>
        <v>5</v>
      </c>
    </row>
    <row r="14">
      <c r="A14" s="4" t="s">
        <v>53</v>
      </c>
      <c r="B14" s="1">
        <v>16.0</v>
      </c>
      <c r="C14" s="1">
        <v>16.0</v>
      </c>
      <c r="D14" s="1">
        <v>16.0</v>
      </c>
      <c r="E14" s="1">
        <v>16.0</v>
      </c>
      <c r="N14" s="3">
        <f t="shared" si="1"/>
        <v>16</v>
      </c>
      <c r="O14" s="3">
        <f t="shared" si="2"/>
        <v>16</v>
      </c>
      <c r="P14" s="3">
        <f t="shared" si="3"/>
        <v>16</v>
      </c>
      <c r="Q14" s="3">
        <f t="shared" si="4"/>
        <v>16</v>
      </c>
    </row>
    <row r="15">
      <c r="A15" s="4" t="s">
        <v>54</v>
      </c>
      <c r="B15" s="1">
        <v>2.0</v>
      </c>
      <c r="C15" s="1">
        <v>13.0</v>
      </c>
      <c r="D15" s="1">
        <v>11.0</v>
      </c>
      <c r="E15" s="1">
        <v>12.0</v>
      </c>
      <c r="N15" s="3">
        <f t="shared" si="1"/>
        <v>12</v>
      </c>
      <c r="O15" s="3">
        <f t="shared" si="2"/>
        <v>12</v>
      </c>
      <c r="P15" s="3">
        <f t="shared" si="3"/>
        <v>13</v>
      </c>
      <c r="Q15" s="3">
        <f t="shared" si="4"/>
        <v>11</v>
      </c>
    </row>
    <row r="16">
      <c r="A16" s="4" t="s">
        <v>55</v>
      </c>
      <c r="B16" s="1">
        <v>9.0</v>
      </c>
      <c r="C16" s="1">
        <v>3.0</v>
      </c>
      <c r="D16" s="1">
        <v>4.0</v>
      </c>
      <c r="E16" s="1">
        <v>3.0</v>
      </c>
      <c r="N16" s="3">
        <f t="shared" si="1"/>
        <v>3.333333333</v>
      </c>
      <c r="O16" s="3">
        <f t="shared" si="2"/>
        <v>3</v>
      </c>
      <c r="P16" s="3">
        <f t="shared" si="3"/>
        <v>4</v>
      </c>
      <c r="Q16" s="3">
        <f t="shared" si="4"/>
        <v>3</v>
      </c>
    </row>
    <row r="17">
      <c r="A17" s="4" t="s">
        <v>56</v>
      </c>
      <c r="B17" s="1">
        <v>6.0</v>
      </c>
      <c r="C17" s="1">
        <v>4.0</v>
      </c>
      <c r="D17" s="1">
        <v>3.0</v>
      </c>
      <c r="E17" s="1">
        <v>5.0</v>
      </c>
      <c r="N17" s="3">
        <f t="shared" si="1"/>
        <v>4</v>
      </c>
      <c r="O17" s="3">
        <f t="shared" si="2"/>
        <v>4</v>
      </c>
      <c r="P17" s="3">
        <f t="shared" si="3"/>
        <v>5</v>
      </c>
      <c r="Q17" s="3">
        <f t="shared" si="4"/>
        <v>3</v>
      </c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  <c r="B25" s="4"/>
    </row>
  </sheetData>
  <conditionalFormatting sqref="O2:O25">
    <cfRule type="colorScale" priority="1">
      <colorScale>
        <cfvo type="min"/>
        <cfvo type="percentile" val="50"/>
        <cfvo type="max"/>
        <color rgb="FF1155CC"/>
        <color rgb="FFFFFFFF"/>
        <color rgb="FFE67C73"/>
      </colorScale>
    </cfRule>
  </conditionalFormatting>
  <conditionalFormatting sqref="O2:O25">
    <cfRule type="notContainsBlanks" dxfId="0" priority="2">
      <formula>LEN(TRIM(O2))&gt;0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17</v>
      </c>
      <c r="B2" s="3">
        <v>8.0</v>
      </c>
      <c r="D2" s="3" t="s">
        <v>17</v>
      </c>
      <c r="E2" s="3">
        <v>8.0</v>
      </c>
    </row>
    <row r="3">
      <c r="A3" s="3" t="s">
        <v>18</v>
      </c>
      <c r="B3" s="3">
        <v>15.0</v>
      </c>
      <c r="D3" s="3" t="s">
        <v>18</v>
      </c>
      <c r="E3" s="3">
        <v>15.0</v>
      </c>
    </row>
    <row r="4">
      <c r="A4" s="3" t="s">
        <v>19</v>
      </c>
      <c r="B4" s="3">
        <v>3.0</v>
      </c>
      <c r="D4" s="3" t="s">
        <v>19</v>
      </c>
      <c r="E4" s="3">
        <v>3.0</v>
      </c>
    </row>
    <row r="5">
      <c r="A5" s="3" t="s">
        <v>20</v>
      </c>
      <c r="B5" s="3">
        <v>11.0</v>
      </c>
      <c r="D5" s="3" t="s">
        <v>20</v>
      </c>
      <c r="E5" s="3">
        <v>11.0</v>
      </c>
    </row>
    <row r="6">
      <c r="A6" s="3" t="s">
        <v>21</v>
      </c>
      <c r="B6" s="3">
        <v>16.0</v>
      </c>
      <c r="D6" s="3" t="s">
        <v>21</v>
      </c>
      <c r="E6" s="3">
        <v>16.0</v>
      </c>
    </row>
    <row r="7">
      <c r="A7" s="3" t="s">
        <v>22</v>
      </c>
      <c r="B7" s="1">
        <v>19.0</v>
      </c>
      <c r="D7" s="3" t="s">
        <v>22</v>
      </c>
      <c r="E7" s="1">
        <v>19.0</v>
      </c>
    </row>
    <row r="8">
      <c r="A8" s="3" t="s">
        <v>23</v>
      </c>
      <c r="B8" s="3">
        <v>4.0</v>
      </c>
      <c r="D8" s="3" t="s">
        <v>23</v>
      </c>
      <c r="E8" s="3">
        <v>4.0</v>
      </c>
    </row>
    <row r="9">
      <c r="A9" s="3" t="s">
        <v>24</v>
      </c>
      <c r="B9" s="3">
        <v>2.0</v>
      </c>
      <c r="D9" s="3" t="s">
        <v>24</v>
      </c>
      <c r="E9" s="3">
        <v>2.0</v>
      </c>
    </row>
    <row r="10">
      <c r="A10" s="3" t="s">
        <v>25</v>
      </c>
      <c r="B10" s="3">
        <v>12.0</v>
      </c>
      <c r="D10" s="3" t="s">
        <v>25</v>
      </c>
      <c r="E10" s="3">
        <v>12.0</v>
      </c>
    </row>
    <row r="11">
      <c r="A11" s="3" t="s">
        <v>26</v>
      </c>
      <c r="B11" s="3">
        <v>17.0</v>
      </c>
      <c r="D11" s="3" t="s">
        <v>26</v>
      </c>
      <c r="E11" s="3">
        <v>17.0</v>
      </c>
    </row>
    <row r="12">
      <c r="A12" s="3" t="s">
        <v>27</v>
      </c>
      <c r="B12" s="1">
        <v>20.0</v>
      </c>
      <c r="D12" s="3" t="s">
        <v>27</v>
      </c>
      <c r="E12" s="1">
        <v>20.0</v>
      </c>
    </row>
    <row r="13">
      <c r="A13" s="3" t="s">
        <v>28</v>
      </c>
      <c r="B13" s="3">
        <v>24.0</v>
      </c>
      <c r="D13" s="3" t="s">
        <v>28</v>
      </c>
      <c r="E13" s="3">
        <v>24.0</v>
      </c>
    </row>
    <row r="14">
      <c r="A14" s="3" t="s">
        <v>29</v>
      </c>
      <c r="B14" s="1">
        <v>6.0</v>
      </c>
      <c r="D14" s="3" t="s">
        <v>29</v>
      </c>
      <c r="E14" s="1">
        <v>6.0</v>
      </c>
    </row>
    <row r="15">
      <c r="A15" s="3" t="s">
        <v>30</v>
      </c>
      <c r="B15" s="1">
        <v>22.0</v>
      </c>
      <c r="D15" s="3" t="s">
        <v>30</v>
      </c>
      <c r="E15" s="1">
        <v>22.0</v>
      </c>
    </row>
    <row r="16">
      <c r="A16" s="3" t="s">
        <v>31</v>
      </c>
      <c r="B16" s="1">
        <v>10.0</v>
      </c>
      <c r="D16" s="3" t="s">
        <v>31</v>
      </c>
      <c r="E16" s="1">
        <v>10.0</v>
      </c>
    </row>
    <row r="17">
      <c r="A17" s="3" t="s">
        <v>32</v>
      </c>
      <c r="B17" s="3">
        <v>5.0</v>
      </c>
      <c r="D17" s="3" t="s">
        <v>32</v>
      </c>
      <c r="E17" s="3">
        <v>5.0</v>
      </c>
    </row>
    <row r="18">
      <c r="A18" s="3" t="s">
        <v>33</v>
      </c>
      <c r="B18" s="3">
        <v>14.0</v>
      </c>
      <c r="D18" s="3" t="s">
        <v>33</v>
      </c>
      <c r="E18" s="3">
        <v>14.0</v>
      </c>
    </row>
    <row r="19">
      <c r="A19" s="3" t="s">
        <v>34</v>
      </c>
      <c r="B19" s="3">
        <v>9.0</v>
      </c>
      <c r="D19" s="3" t="s">
        <v>34</v>
      </c>
      <c r="E19" s="3">
        <v>9.0</v>
      </c>
    </row>
    <row r="20">
      <c r="A20" s="3" t="s">
        <v>35</v>
      </c>
      <c r="B20" s="3">
        <v>23.0</v>
      </c>
      <c r="D20" s="3" t="s">
        <v>35</v>
      </c>
      <c r="E20" s="3">
        <v>23.0</v>
      </c>
    </row>
    <row r="21">
      <c r="A21" s="3" t="s">
        <v>36</v>
      </c>
      <c r="B21" s="3">
        <v>1.0</v>
      </c>
      <c r="D21" s="3" t="s">
        <v>36</v>
      </c>
      <c r="E21" s="3">
        <v>1.0</v>
      </c>
    </row>
    <row r="22">
      <c r="A22" s="3" t="s">
        <v>37</v>
      </c>
      <c r="B22" s="1">
        <v>21.0</v>
      </c>
      <c r="D22" s="3" t="s">
        <v>37</v>
      </c>
      <c r="E22" s="1">
        <v>21.0</v>
      </c>
    </row>
    <row r="23">
      <c r="A23" s="3" t="s">
        <v>38</v>
      </c>
      <c r="B23" s="1">
        <v>13.0</v>
      </c>
      <c r="D23" s="3" t="s">
        <v>38</v>
      </c>
      <c r="E23" s="1">
        <v>13.0</v>
      </c>
    </row>
    <row r="24">
      <c r="A24" s="3" t="s">
        <v>39</v>
      </c>
      <c r="B24" s="1">
        <v>7.0</v>
      </c>
      <c r="D24" s="3" t="s">
        <v>39</v>
      </c>
      <c r="E24" s="1">
        <v>7.0</v>
      </c>
    </row>
    <row r="25">
      <c r="A25" s="3" t="s">
        <v>40</v>
      </c>
      <c r="B25" s="1">
        <v>18.0</v>
      </c>
      <c r="D25" s="3" t="s">
        <v>40</v>
      </c>
      <c r="E25" s="1">
        <v>18.0</v>
      </c>
    </row>
  </sheetData>
  <autoFilter ref="$A$1:$B$25">
    <sortState ref="A1:B25">
      <sortCondition ref="A1:A25"/>
      <sortCondition ref="B1:B25"/>
    </sortState>
  </autoFilter>
  <drawing r:id="rId1"/>
</worksheet>
</file>